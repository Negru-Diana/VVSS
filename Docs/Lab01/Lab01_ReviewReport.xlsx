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VSS\Docs\Lab01\"/>
    </mc:Choice>
  </mc:AlternateContent>
  <xr:revisionPtr revIDLastSave="0" documentId="13_ncr:1_{83A44C96-294B-4796-8B6B-C3305D402F6A}" xr6:coauthVersionLast="47" xr6:coauthVersionMax="47" xr10:uidLastSave="{00000000-0000-0000-0000-000000000000}"/>
  <bookViews>
    <workbookView xWindow="-108" yWindow="-108" windowWidth="23256" windowHeight="12456" tabRatio="650" activeTab="1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81029"/>
</workbook>
</file>

<file path=xl/calcChain.xml><?xml version="1.0" encoding="utf-8"?>
<calcChain xmlns="http://schemas.openxmlformats.org/spreadsheetml/2006/main">
  <c r="B14" i="6" l="1"/>
  <c r="B13" i="6"/>
  <c r="B12" i="6"/>
  <c r="B11" i="8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5" i="6" s="1"/>
  <c r="B16" i="6" s="1"/>
  <c r="B17" i="6" s="1"/>
  <c r="B18" i="6" s="1"/>
  <c r="B19" i="6" s="1"/>
  <c r="B20" i="6" s="1"/>
  <c r="B21" i="6" s="1"/>
  <c r="B22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<sst xmlns="http://schemas.openxmlformats.org/spreadsheetml/2006/main" count="196" uniqueCount="130">
  <si>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</si>
  <si>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</si>
  <si>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</si>
  <si>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</si>
  <si>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</si>
  <si>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</si>
  <si>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</si>
  <si>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</si>
  <si>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</si>
  <si>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</si>
  <si>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</si>
  <si>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</si>
  <si>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</si>
  <si>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</si>
  <si>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</si>
  <si>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</si>
  <si>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</si>
  <si>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</si>
  <si>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</si>
  <si>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</si>
  <si>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</si>
  <si>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</si>
  <si>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</si>
  <si>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</si>
  <si>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</si>
  <si>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</si>
  <si>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</si>
  <si>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</si>
  <si>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</si>
  <si>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</si>
  <si>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</si>
  <si>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</si>
  <si>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Negru Diana-Maria</t>
  </si>
  <si>
    <t>Oproi Denisa-Florina</t>
  </si>
  <si>
    <t>R01</t>
  </si>
  <si>
    <t>R02</t>
  </si>
  <si>
    <t>R03</t>
  </si>
  <si>
    <t>R04</t>
  </si>
  <si>
    <t>R05</t>
  </si>
  <si>
    <t>R06</t>
  </si>
  <si>
    <t>R07</t>
  </si>
  <si>
    <t>La cerinta functionala 6, nu se specifica ce se intampla daca stocul este insuficient</t>
  </si>
  <si>
    <t>Lipseste o functionalitate de autentificare/autorizare. Nu este clar cine are dreptul sa modifice preturile, sa stearga produse sau sa adauge retete noi (Admin vs. Casier)</t>
  </si>
  <si>
    <t>La cerinta functionala 1, nu se specifica ce se intampla daca se incearca adaugarea unui produs existent.</t>
  </si>
  <si>
    <t xml:space="preserve">La cerinta functionala 7, aplicatia nu ar trebui sa calculeze automat continutul comenzii (continutul comenzii a fost adaugat de catre user manual), ci sa calculeze valoarea comenzii. </t>
  </si>
  <si>
    <t>La cerinta non-functionala despre persistenta datelor nu se specifica formatul de salvare.</t>
  </si>
  <si>
    <t>Functia de generare a bonului fiscal in format .csv este definita vag. Nu se specifica structura coloanelor necesare.</t>
  </si>
  <si>
    <t>Nu se mentioneaza versiunea minima de Java (JDK) sau versiunea de JavaFX necesara pentru rularea aplicatiei.</t>
  </si>
  <si>
    <t>Lipseste functionalitatea de aprovizionare. Desi se cere "afisarea cantitatii disponibile", nu exista o cale de a adauga stoc in sistem, ci doar de a-l scadea prin comenzi.</t>
  </si>
  <si>
    <t>Nu sunt definite unitatile de masura. Daca reteta foloseste mililitri sau grame, iar stocul este gestional in sticle, bucati sau pachete, sistemul nu poate calcula automat scaderea din stoc a cantitatilor folosite pentru o comanda.</t>
  </si>
  <si>
    <t>Utilizatorul are nevoie sa fie anuntat cand un ingredient scade sub o anumita limita pentru a stii sa se aprovizioneze. Cerintele mentioneaza doar afisarea cantitatii, nu si setarea unui prag critic pentru cantitatea fiecarui produs ca sa fie alertat ca este necesara o aprovizionare.</t>
  </si>
  <si>
    <t>In document nu se specifica daca aplicatia porneste cu o baza de date prepopulata sau daca utilizatorul trebuie sa o configureze de la zero. De asemenea, nu se specifica cum se comporta sistemul la prima rulare cand fisierele .csv sau .txt nu exista pe disc.</t>
  </si>
  <si>
    <t>A02</t>
  </si>
  <si>
    <t>A03</t>
  </si>
  <si>
    <t>A09</t>
  </si>
  <si>
    <t>Partitionarea pe pachete lipseste din diagrama de clase</t>
  </si>
  <si>
    <t>A01</t>
  </si>
  <si>
    <t>Tipul si categoria baututilor sunt de tip enum, dar in cerinta 3 se specifica ca user-ul poate modifica/sterge/adauga tipuri sau categorii de bauturi.</t>
  </si>
  <si>
    <t>DailyRaportService are o relatie numita "repo" spre interfata Repository si nu este clar din arhitectura ce fel de date se extrag pentru raporturi</t>
  </si>
  <si>
    <t>A10</t>
  </si>
  <si>
    <t>Clasa Stoc este izolata</t>
  </si>
  <si>
    <t>ProducTest nu ar trebui sa apara in diagrama</t>
  </si>
  <si>
    <t>C06</t>
  </si>
  <si>
    <t>DrinkShopContoller line169</t>
  </si>
  <si>
    <t>CsvExporter</t>
  </si>
  <si>
    <t>C08</t>
  </si>
  <si>
    <t>C05</t>
  </si>
  <si>
    <t>C09</t>
  </si>
  <si>
    <t>DrinkShopContoller</t>
  </si>
  <si>
    <t>DrinkShopController - onAddProduct</t>
  </si>
  <si>
    <t>DailyReportService</t>
  </si>
  <si>
    <t>StocService</t>
  </si>
  <si>
    <t>OrderService</t>
  </si>
  <si>
    <t>niciun validator nu este folosit!</t>
  </si>
  <si>
    <t>Validatorii nu sunt legati de clase</t>
  </si>
  <si>
    <t>nu avem validari pentru adaugarea unui element</t>
  </si>
  <si>
    <t xml:space="preserve">din O(NxMxP) -&gt; O(P + (NxM)); N - nr de comenzi, M - nr de produse pe comanda, P - nr total de produse
</t>
  </si>
  <si>
    <t>Eroare afisata doar in consola</t>
  </si>
  <si>
    <t>Utilizatorul nu este informat de crearea csv-ului</t>
  </si>
  <si>
    <t xml:space="preserve">showError nu este folosit in functia onAddProduct() </t>
  </si>
  <si>
    <t>lipsesc validatorii pnetru onAddProduct</t>
  </si>
  <si>
    <t>Numele "repo" este prea vag</t>
  </si>
  <si>
    <t xml:space="preserve">Metoda neutilizata public void update(Stoc s)
</t>
  </si>
  <si>
    <t xml:space="preserve">comentarii in functia public List&lt;Order&gt; getAllOrders() {
</t>
  </si>
  <si>
    <t>CsvExporter este izolvat</t>
  </si>
  <si>
    <t>ReceiptGenerator este izolat</t>
  </si>
  <si>
    <t>DrinkShopApp este izolat</t>
  </si>
  <si>
    <t>Replace this usage of 'Stream.collect(Collectors.toList())' with 'Stream.toList()' and ensure that the list is unmodified.</t>
  </si>
  <si>
    <t>return getAllProducts().stream()
                .filter(p -&gt; p.getTip() == tip)
                .collect(Collectors.toList());</t>
  </si>
  <si>
    <t>return getAllProducts().stream()
                .filter(p -&gt; p.getTip() == tip)
                .toList();</t>
  </si>
  <si>
    <t>ProductService, 52</t>
  </si>
  <si>
    <t>return getAllProducts().stream()
                .filter(p -&gt; p.getCategorie() == categorie)
                .collect(Collectors.toList());
    }</t>
  </si>
  <si>
    <t>return getAllProducts().stream()
                .filter(p -&gt; p.getCategorie() == categorie)
                .toList();</t>
  </si>
  <si>
    <t>ProductService, 8</t>
  </si>
  <si>
    <t>Remove this unused import 'java.util.stream.Collectors'.</t>
  </si>
  <si>
    <t>import java.util.stream.Collectors;</t>
  </si>
  <si>
    <t>-</t>
  </si>
  <si>
    <t>ProductService, 34</t>
  </si>
  <si>
    <t>This block of commented-out lines of code should be removed.</t>
  </si>
  <si>
    <t>public List&lt;Product&gt; getAllProducts() {
//        Iterable&lt;Product&gt; it=productRepo.findAll();
//        ArrayList&lt;Product&gt; products=new ArrayList&lt;&gt;();
//        it.forEach(products::add);
//        return products;
//        return StreamSupport.stream(productRepo.findAll().spliterator(), false)
//                    .collect(Collectors.toList());
        return productRepo.findAll();
    }</t>
  </si>
  <si>
    <t>public List&lt;Product&gt; getAllProducts() {
        return productRepo.findAll();
    }</t>
  </si>
  <si>
    <t>ReceiptGenerator, 9</t>
  </si>
  <si>
    <t>Add a private constructor to hide the implicit public one.</t>
  </si>
  <si>
    <t>private ReceiptGenerator(){}</t>
  </si>
  <si>
    <t>ReceiptGenerator, 17</t>
  </si>
  <si>
    <t>Remove the parentheses around the "p1" parameter</t>
  </si>
  <si>
    <t>Product p = products.stream().filter((p1)-&gt;i.getProduct().getId()==p1.getId()).toList().get(0);</t>
  </si>
  <si>
    <t>Product p = products.stream().filter(p1-&gt;i.getProduct().getId()==p1.getId()).toList().get(0);</t>
  </si>
  <si>
    <t>ReceiptGenerator, 18</t>
  </si>
  <si>
    <t>Use multiple calls to "append" instead of string concatenation.</t>
  </si>
  <si>
    <t>sb.append(p.getNume()+": ").append(p.getPret()).append(" x ").append(i.getQuantity()).append(" = ").append(i.getTotal()).append(" RON\n");</t>
  </si>
  <si>
    <t>sb.append(p.getNume()).append(": ").append(p.getPret()).append(" x ").append(i.getQuantity()).append(" = ").append(i.getTotal()).append(" RON\n");</t>
  </si>
  <si>
    <t xml:space="preserve">    @FXML private TextField txtProdName, txtProdPrice;</t>
  </si>
  <si>
    <t>Declare "txtProdPrice" on a separate line.</t>
  </si>
  <si>
    <t xml:space="preserve">    @FXML private TextField txtProdName;
    @FXML private TextField txtProdPrice;</t>
  </si>
  <si>
    <t>DrinkShopController, 27</t>
  </si>
  <si>
    <t>DrinkShopController, 40</t>
  </si>
  <si>
    <t>Declare "txtNewIngredCant" on a separate line.</t>
  </si>
  <si>
    <t xml:space="preserve">    @FXML private TextField txtNewIngredName, txtNewIngredCant;
</t>
  </si>
  <si>
    <t xml:space="preserve">    @FXML private TextField txtNewIngredName;
    @FXML private TextField txtNewIngredCant;</t>
  </si>
  <si>
    <t>DrinkShopController, 123</t>
  </si>
  <si>
    <t>Use isEmpty() to check whether the collection is empty or not.</t>
  </si>
  <si>
    <t xml:space="preserve"> if (service.getAllProducts().stream().filter(p-&gt;p.getId()==r.getId()).toList().size()&gt;0) {</t>
  </si>
  <si>
    <t>if (!service.getAllProducts().stream().filter(p-&gt;p.getId()==r.getId()).toList().isEmpty()) {</t>
  </si>
  <si>
    <t>DrinkShopController, 12</t>
  </si>
  <si>
    <t>Remove this unused import 'java.net.SocketOption'.</t>
  </si>
  <si>
    <t>import java.net.SocketOption;</t>
  </si>
  <si>
    <t>ProductService, 45</t>
  </si>
  <si>
    <t>Effort to perform tool-based code analysis (hours): 0.5</t>
  </si>
  <si>
    <t>SonarQube for 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</si>
</sst>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8" fillId="0" borderId="1" xfId="0" applyFont="1" applyBorder="1"/>
    <xf numFmtId="0" fontId="11" fillId="0" borderId="0" xfId="0" applyFont="1"/>
    <xf numFmtId="0" fontId="12" fillId="0" borderId="0" xfId="0" applyFont="1"/>
    <xf numFmtId="0" fontId="8" fillId="0" borderId="0" xfId="0" applyFont="1"/>
    <xf numFmtId="0" fontId="9" fillId="3" borderId="1" xfId="0" applyFont="1" applyFill="1" applyBorder="1"/>
    <xf numFmtId="0" fontId="9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9" fillId="2" borderId="1" xfId="0" applyFont="1" applyFill="1" applyBorder="1"/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/>
    <xf numFmtId="0" fontId="7" fillId="0" borderId="1" xfId="0" applyFont="1" applyBorder="1"/>
    <xf numFmtId="0" fontId="10" fillId="0" borderId="0" xfId="0" applyFont="1"/>
    <xf numFmtId="0" fontId="6" fillId="0" borderId="1" xfId="0" applyFont="1" applyBorder="1"/>
    <xf numFmtId="0" fontId="5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2" fillId="0" borderId="1" xfId="0" applyFont="1" applyBorder="1"/>
    <xf numFmtId="0" fontId="9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2" borderId="1" xfId="0" applyFont="1" applyFill="1" applyBorder="1" applyAlignment="1">
      <alignment horizontal="right"/>
    </xf>
    <xf numFmtId="0" fontId="13" fillId="2" borderId="2" xfId="0" applyFont="1" applyFill="1" applyBorder="1" applyAlignment="1">
      <alignment horizontal="right"/>
    </xf>
    <xf numFmtId="0" fontId="13" fillId="2" borderId="4" xfId="0" applyFont="1" applyFill="1" applyBorder="1" applyAlignment="1">
      <alignment horizontal="right"/>
    </xf>
    <xf numFmtId="0" fontId="9" fillId="3" borderId="1" xfId="0" applyFont="1" applyFill="1" applyBorder="1" applyAlignment="1">
      <alignment horizontal="right"/>
    </xf>
    <xf numFmtId="0" fontId="13" fillId="3" borderId="2" xfId="0" applyFont="1" applyFill="1" applyBorder="1" applyAlignment="1">
      <alignment horizontal="right"/>
    </xf>
    <xf numFmtId="0" fontId="13" fillId="3" borderId="4" xfId="0" applyFont="1" applyFill="1" applyBorder="1" applyAlignment="1">
      <alignment horizontal="right"/>
    </xf>
    <xf numFmtId="0" fontId="9" fillId="4" borderId="1" xfId="0" applyFont="1" applyFill="1" applyBorder="1" applyAlignment="1">
      <alignment horizontal="right"/>
    </xf>
    <xf numFmtId="0" fontId="13" fillId="4" borderId="2" xfId="0" applyFont="1" applyFill="1" applyBorder="1" applyAlignment="1">
      <alignment horizontal="right"/>
    </xf>
    <xf numFmtId="0" fontId="13" fillId="4" borderId="4" xfId="0" applyFont="1" applyFill="1" applyBorder="1" applyAlignment="1">
      <alignment horizontal="right"/>
    </xf>
    <xf numFmtId="0" fontId="9" fillId="0" borderId="5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 vertical="center" inden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workbookViewId="0">
      <selection activeCell="E28" sqref="E28"/>
    </sheetView>
  </sheetViews>
  <sheetFormatPr defaultColWidth="8.88671875" defaultRowHeight="14.4" x14ac:dyDescent="0.3"/>
  <cols>
    <col min="1" max="1" width="8.88671875" style="6"/>
    <col min="2" max="2" width="12.33203125" style="6" customWidth="1"/>
    <col min="3" max="4" width="16.33203125" style="6" customWidth="1"/>
    <col min="5" max="5" width="41.44140625" style="6" customWidth="1"/>
    <col min="6" max="7" width="8.88671875" style="6"/>
    <col min="8" max="8" width="10" style="6" customWidth="1"/>
    <col min="9" max="9" width="21" style="6" customWidth="1"/>
    <col min="10" max="10" width="12.109375" style="6" customWidth="1"/>
    <col min="11" max="16384" width="8.88671875" style="6"/>
  </cols>
  <sheetData>
    <row r="1" spans="1:10" ht="15.6" x14ac:dyDescent="0.3">
      <c r="A1" s="4"/>
      <c r="B1" s="5" t="s">
        <v>3</v>
      </c>
      <c r="H1" s="28" t="s">
        <v>23</v>
      </c>
      <c r="I1" s="28"/>
      <c r="J1" s="28"/>
    </row>
    <row r="2" spans="1:10" x14ac:dyDescent="0.3">
      <c r="B2" s="29" t="s">
        <v>19</v>
      </c>
      <c r="C2" s="29"/>
      <c r="D2" s="29"/>
      <c r="E2" s="29"/>
      <c r="H2" s="3"/>
      <c r="I2" s="18" t="s">
        <v>30</v>
      </c>
      <c r="J2" s="16" t="s">
        <v>24</v>
      </c>
    </row>
    <row r="3" spans="1:10" x14ac:dyDescent="0.3">
      <c r="H3" s="16" t="s">
        <v>20</v>
      </c>
      <c r="I3" s="21" t="s">
        <v>32</v>
      </c>
      <c r="J3" s="21">
        <v>235</v>
      </c>
    </row>
    <row r="4" spans="1:10" x14ac:dyDescent="0.3">
      <c r="C4" s="13" t="s">
        <v>0</v>
      </c>
      <c r="D4" s="30" t="s">
        <v>14</v>
      </c>
      <c r="E4" s="30"/>
      <c r="H4" s="16" t="s">
        <v>21</v>
      </c>
      <c r="I4" s="21" t="s">
        <v>33</v>
      </c>
      <c r="J4" s="21">
        <v>235</v>
      </c>
    </row>
    <row r="5" spans="1:10" x14ac:dyDescent="0.3">
      <c r="C5" s="13" t="s">
        <v>9</v>
      </c>
      <c r="D5" s="31" t="s">
        <v>13</v>
      </c>
      <c r="E5" s="32"/>
      <c r="H5" s="16" t="s">
        <v>22</v>
      </c>
      <c r="I5" s="3"/>
      <c r="J5" s="3"/>
    </row>
    <row r="6" spans="1:10" x14ac:dyDescent="0.3">
      <c r="B6" s="8"/>
      <c r="C6" s="9" t="s">
        <v>2</v>
      </c>
      <c r="D6" s="27"/>
      <c r="E6" s="27"/>
    </row>
    <row r="7" spans="1:10" x14ac:dyDescent="0.3">
      <c r="C7" s="9" t="s">
        <v>1</v>
      </c>
      <c r="D7" s="27"/>
      <c r="E7" s="27"/>
    </row>
    <row r="9" spans="1:10" x14ac:dyDescent="0.3">
      <c r="B9" s="10" t="s">
        <v>4</v>
      </c>
      <c r="C9" s="10" t="s">
        <v>5</v>
      </c>
      <c r="D9" s="10" t="s">
        <v>6</v>
      </c>
      <c r="E9" s="14" t="s">
        <v>7</v>
      </c>
    </row>
    <row r="10" spans="1:10" ht="28.8" x14ac:dyDescent="0.3">
      <c r="B10" s="3">
        <v>1</v>
      </c>
      <c r="C10" s="22" t="s">
        <v>34</v>
      </c>
      <c r="D10" s="22">
        <v>1</v>
      </c>
      <c r="E10" s="23" t="s">
        <v>41</v>
      </c>
    </row>
    <row r="11" spans="1:10" ht="28.8" x14ac:dyDescent="0.3">
      <c r="B11" s="3">
        <f>B10+1</f>
        <v>2</v>
      </c>
      <c r="C11" s="22" t="s">
        <v>34</v>
      </c>
      <c r="D11" s="22">
        <v>1</v>
      </c>
      <c r="E11" s="23" t="s">
        <v>45</v>
      </c>
    </row>
    <row r="12" spans="1:10" ht="43.2" x14ac:dyDescent="0.3">
      <c r="B12" s="3">
        <f t="shared" ref="B12:B25" si="0">B11+1</f>
        <v>3</v>
      </c>
      <c r="C12" s="22" t="s">
        <v>34</v>
      </c>
      <c r="D12" s="22">
        <v>1</v>
      </c>
      <c r="E12" s="23" t="s">
        <v>43</v>
      </c>
    </row>
    <row r="13" spans="1:10" ht="57.6" x14ac:dyDescent="0.3">
      <c r="B13" s="3">
        <f t="shared" si="0"/>
        <v>4</v>
      </c>
      <c r="C13" s="22" t="s">
        <v>35</v>
      </c>
      <c r="D13" s="22">
        <v>1</v>
      </c>
      <c r="E13" s="23" t="s">
        <v>42</v>
      </c>
    </row>
    <row r="14" spans="1:10" ht="57.6" x14ac:dyDescent="0.3">
      <c r="B14" s="3">
        <f t="shared" si="0"/>
        <v>5</v>
      </c>
      <c r="C14" s="22" t="s">
        <v>35</v>
      </c>
      <c r="D14" s="22">
        <v>1</v>
      </c>
      <c r="E14" s="23" t="s">
        <v>48</v>
      </c>
    </row>
    <row r="15" spans="1:10" ht="57.6" x14ac:dyDescent="0.3">
      <c r="B15" s="3">
        <f t="shared" si="0"/>
        <v>6</v>
      </c>
      <c r="C15" s="22" t="s">
        <v>36</v>
      </c>
      <c r="D15" s="22">
        <v>1</v>
      </c>
      <c r="E15" s="23" t="s">
        <v>44</v>
      </c>
    </row>
    <row r="16" spans="1:10" ht="86.4" x14ac:dyDescent="0.3">
      <c r="B16" s="3">
        <f t="shared" si="0"/>
        <v>7</v>
      </c>
      <c r="C16" s="22" t="s">
        <v>37</v>
      </c>
      <c r="D16" s="22">
        <v>1</v>
      </c>
      <c r="E16" s="23" t="s">
        <v>51</v>
      </c>
    </row>
    <row r="17" spans="2:5" ht="43.2" x14ac:dyDescent="0.3">
      <c r="B17" s="3">
        <f t="shared" si="0"/>
        <v>8</v>
      </c>
      <c r="C17" s="22" t="s">
        <v>38</v>
      </c>
      <c r="D17" s="22">
        <v>1</v>
      </c>
      <c r="E17" s="23" t="s">
        <v>46</v>
      </c>
    </row>
    <row r="18" spans="2:5" ht="72" x14ac:dyDescent="0.3">
      <c r="B18" s="3">
        <f t="shared" si="0"/>
        <v>9</v>
      </c>
      <c r="C18" s="22" t="s">
        <v>38</v>
      </c>
      <c r="D18" s="22">
        <v>1</v>
      </c>
      <c r="E18" s="23" t="s">
        <v>49</v>
      </c>
    </row>
    <row r="19" spans="2:5" ht="92.25" customHeight="1" x14ac:dyDescent="0.3">
      <c r="B19" s="3">
        <f t="shared" si="0"/>
        <v>10</v>
      </c>
      <c r="C19" s="22" t="s">
        <v>39</v>
      </c>
      <c r="D19" s="22">
        <v>1</v>
      </c>
      <c r="E19" s="23" t="s">
        <v>50</v>
      </c>
    </row>
    <row r="20" spans="2:5" ht="43.2" x14ac:dyDescent="0.3">
      <c r="B20" s="3">
        <f t="shared" si="0"/>
        <v>11</v>
      </c>
      <c r="C20" s="22" t="s">
        <v>40</v>
      </c>
      <c r="D20" s="22">
        <v>1</v>
      </c>
      <c r="E20" s="23" t="s">
        <v>47</v>
      </c>
    </row>
    <row r="21" spans="2:5" x14ac:dyDescent="0.3">
      <c r="B21" s="3">
        <f t="shared" si="0"/>
        <v>12</v>
      </c>
      <c r="C21" s="24"/>
      <c r="D21" s="24"/>
      <c r="E21" s="25"/>
    </row>
    <row r="22" spans="2:5" x14ac:dyDescent="0.3">
      <c r="B22" s="3">
        <f t="shared" si="0"/>
        <v>13</v>
      </c>
      <c r="C22" s="22"/>
      <c r="D22" s="22"/>
      <c r="E22" s="23"/>
    </row>
    <row r="23" spans="2:5" x14ac:dyDescent="0.3">
      <c r="B23" s="3">
        <f t="shared" si="0"/>
        <v>14</v>
      </c>
      <c r="C23" s="24"/>
      <c r="D23" s="24"/>
      <c r="E23" s="25"/>
    </row>
    <row r="24" spans="2:5" x14ac:dyDescent="0.3">
      <c r="B24" s="3">
        <f t="shared" si="0"/>
        <v>15</v>
      </c>
      <c r="C24" s="24"/>
      <c r="D24" s="24"/>
      <c r="E24" s="25"/>
    </row>
    <row r="25" spans="2:5" x14ac:dyDescent="0.3">
      <c r="B25" s="3">
        <f t="shared" si="0"/>
        <v>16</v>
      </c>
      <c r="C25" s="24"/>
      <c r="D25" s="24"/>
      <c r="E25" s="25"/>
    </row>
    <row r="27" spans="2:5" x14ac:dyDescent="0.3">
      <c r="C27" s="11" t="s">
        <v>8</v>
      </c>
      <c r="D27" s="12"/>
      <c r="E27" s="1">
        <v>0.5</v>
      </c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4"/>
  <sheetViews>
    <sheetView tabSelected="1" workbookViewId="0">
      <selection activeCell="H13" sqref="H13"/>
    </sheetView>
  </sheetViews>
  <sheetFormatPr defaultColWidth="8.88671875" defaultRowHeight="14.4" x14ac:dyDescent="0.3"/>
  <cols>
    <col min="1" max="1" width="8.88671875" style="6"/>
    <col min="2" max="2" width="12.33203125" style="6" customWidth="1"/>
    <col min="3" max="4" width="16.33203125" style="6" customWidth="1"/>
    <col min="5" max="5" width="41.44140625" style="6" customWidth="1"/>
    <col min="6" max="8" width="8.88671875" style="6"/>
    <col min="9" max="9" width="22.109375" style="6" customWidth="1"/>
    <col min="10" max="16384" width="8.88671875" style="6"/>
  </cols>
  <sheetData>
    <row r="1" spans="1:10" ht="15.6" x14ac:dyDescent="0.3">
      <c r="A1" s="4"/>
      <c r="B1" s="5" t="s">
        <v>3</v>
      </c>
      <c r="H1" s="28" t="s">
        <v>23</v>
      </c>
      <c r="I1" s="28"/>
      <c r="J1" s="28"/>
    </row>
    <row r="2" spans="1:10" x14ac:dyDescent="0.3">
      <c r="B2" s="29" t="s">
        <v>18</v>
      </c>
      <c r="C2" s="29"/>
      <c r="D2" s="29"/>
      <c r="E2" s="29"/>
      <c r="H2" s="3"/>
      <c r="I2" s="18" t="s">
        <v>30</v>
      </c>
      <c r="J2" s="16" t="s">
        <v>24</v>
      </c>
    </row>
    <row r="3" spans="1:10" x14ac:dyDescent="0.3">
      <c r="H3" s="16" t="s">
        <v>20</v>
      </c>
      <c r="I3" s="26" t="s">
        <v>33</v>
      </c>
      <c r="J3" s="16">
        <v>235</v>
      </c>
    </row>
    <row r="4" spans="1:10" x14ac:dyDescent="0.3">
      <c r="C4" s="7" t="s">
        <v>0</v>
      </c>
      <c r="D4" s="33" t="s">
        <v>15</v>
      </c>
      <c r="E4" s="33"/>
      <c r="H4" s="16" t="s">
        <v>21</v>
      </c>
      <c r="I4" s="26" t="s">
        <v>32</v>
      </c>
      <c r="J4" s="3">
        <v>235</v>
      </c>
    </row>
    <row r="5" spans="1:10" x14ac:dyDescent="0.3">
      <c r="C5" s="7" t="s">
        <v>10</v>
      </c>
      <c r="D5" s="34" t="s">
        <v>12</v>
      </c>
      <c r="E5" s="35"/>
      <c r="H5" s="16" t="s">
        <v>22</v>
      </c>
      <c r="I5" s="3"/>
      <c r="J5" s="3"/>
    </row>
    <row r="6" spans="1:10" x14ac:dyDescent="0.3">
      <c r="B6" s="8"/>
      <c r="C6" s="9" t="s">
        <v>2</v>
      </c>
      <c r="D6" s="27"/>
      <c r="E6" s="27"/>
    </row>
    <row r="7" spans="1:10" x14ac:dyDescent="0.3">
      <c r="C7" s="9" t="s">
        <v>1</v>
      </c>
      <c r="D7" s="27"/>
      <c r="E7" s="27"/>
    </row>
    <row r="9" spans="1:10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10" x14ac:dyDescent="0.3">
      <c r="B10" s="3">
        <v>1</v>
      </c>
      <c r="C10" s="1" t="s">
        <v>56</v>
      </c>
      <c r="D10" s="2"/>
      <c r="E10" s="2" t="s">
        <v>61</v>
      </c>
    </row>
    <row r="11" spans="1:10" ht="28.8" x14ac:dyDescent="0.3">
      <c r="B11" s="3">
        <f>B10+1</f>
        <v>2</v>
      </c>
      <c r="C11" s="1" t="s">
        <v>52</v>
      </c>
      <c r="D11" s="2"/>
      <c r="E11" s="2" t="s">
        <v>55</v>
      </c>
    </row>
    <row r="12" spans="1:10" ht="57.6" x14ac:dyDescent="0.3">
      <c r="B12" s="3">
        <f>B11+1</f>
        <v>3</v>
      </c>
      <c r="C12" s="1" t="s">
        <v>53</v>
      </c>
      <c r="D12" s="1"/>
      <c r="E12" s="2" t="s">
        <v>57</v>
      </c>
    </row>
    <row r="13" spans="1:10" ht="57.6" x14ac:dyDescent="0.3">
      <c r="B13" s="3">
        <f>B12+1</f>
        <v>4</v>
      </c>
      <c r="C13" s="1" t="s">
        <v>54</v>
      </c>
      <c r="D13" s="2"/>
      <c r="E13" s="2" t="s">
        <v>58</v>
      </c>
    </row>
    <row r="14" spans="1:10" x14ac:dyDescent="0.3">
      <c r="B14" s="3">
        <f>B13+1</f>
        <v>5</v>
      </c>
      <c r="C14" s="1" t="s">
        <v>59</v>
      </c>
      <c r="D14" s="1"/>
      <c r="E14" s="2" t="s">
        <v>60</v>
      </c>
    </row>
    <row r="15" spans="1:10" x14ac:dyDescent="0.3">
      <c r="B15" s="3">
        <f t="shared" ref="B15:B22" si="0">B14+1</f>
        <v>6</v>
      </c>
      <c r="C15" s="1" t="s">
        <v>52</v>
      </c>
      <c r="D15" s="2"/>
      <c r="E15" s="2" t="s">
        <v>74</v>
      </c>
    </row>
    <row r="16" spans="1:10" x14ac:dyDescent="0.3">
      <c r="B16" s="3">
        <f t="shared" si="0"/>
        <v>7</v>
      </c>
      <c r="C16" s="1" t="s">
        <v>52</v>
      </c>
      <c r="D16" s="1"/>
      <c r="E16" s="2" t="s">
        <v>84</v>
      </c>
    </row>
    <row r="17" spans="2:5" x14ac:dyDescent="0.3">
      <c r="B17" s="3">
        <f t="shared" si="0"/>
        <v>8</v>
      </c>
      <c r="C17" s="1" t="s">
        <v>52</v>
      </c>
      <c r="D17" s="1"/>
      <c r="E17" s="2" t="s">
        <v>85</v>
      </c>
    </row>
    <row r="18" spans="2:5" x14ac:dyDescent="0.3">
      <c r="B18" s="3">
        <f t="shared" si="0"/>
        <v>9</v>
      </c>
      <c r="C18" s="1" t="s">
        <v>52</v>
      </c>
      <c r="D18" s="1"/>
      <c r="E18" s="2" t="s">
        <v>86</v>
      </c>
    </row>
    <row r="19" spans="2:5" x14ac:dyDescent="0.3">
      <c r="B19" s="3">
        <f t="shared" si="0"/>
        <v>10</v>
      </c>
      <c r="C19" s="1"/>
      <c r="D19" s="1"/>
      <c r="E19" s="2"/>
    </row>
    <row r="20" spans="2:5" x14ac:dyDescent="0.3">
      <c r="B20" s="3">
        <f t="shared" si="0"/>
        <v>11</v>
      </c>
      <c r="C20" s="1"/>
      <c r="D20" s="1"/>
      <c r="E20" s="2"/>
    </row>
    <row r="21" spans="2:5" x14ac:dyDescent="0.3">
      <c r="B21" s="3">
        <f t="shared" si="0"/>
        <v>12</v>
      </c>
      <c r="C21" s="1"/>
      <c r="D21" s="1"/>
      <c r="E21" s="2"/>
    </row>
    <row r="22" spans="2:5" x14ac:dyDescent="0.3">
      <c r="B22" s="3">
        <f t="shared" si="0"/>
        <v>13</v>
      </c>
      <c r="C22" s="1"/>
      <c r="D22" s="1"/>
      <c r="E22" s="2"/>
    </row>
    <row r="24" spans="2:5" x14ac:dyDescent="0.3">
      <c r="C24" s="11" t="s">
        <v>8</v>
      </c>
      <c r="D24" s="12"/>
      <c r="E24" s="1">
        <v>0.5</v>
      </c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zoomScale="115" zoomScaleNormal="115" workbookViewId="0">
      <selection activeCell="E12" sqref="E12"/>
    </sheetView>
  </sheetViews>
  <sheetFormatPr defaultColWidth="8.88671875" defaultRowHeight="14.4" x14ac:dyDescent="0.3"/>
  <cols>
    <col min="1" max="1" width="8.88671875" style="6"/>
    <col min="2" max="2" width="12.33203125" style="6" customWidth="1"/>
    <col min="3" max="3" width="16.33203125" style="6" customWidth="1"/>
    <col min="4" max="4" width="18" style="6" customWidth="1"/>
    <col min="5" max="5" width="62.44140625" style="6" customWidth="1"/>
    <col min="6" max="8" width="8.88671875" style="6"/>
    <col min="9" max="9" width="26.6640625" style="6" customWidth="1"/>
    <col min="10" max="16384" width="8.88671875" style="6"/>
  </cols>
  <sheetData>
    <row r="1" spans="1:10" ht="15.6" x14ac:dyDescent="0.3">
      <c r="A1" s="4"/>
      <c r="B1" s="5" t="s">
        <v>3</v>
      </c>
      <c r="H1" s="28" t="s">
        <v>23</v>
      </c>
      <c r="I1" s="28"/>
      <c r="J1" s="28"/>
    </row>
    <row r="2" spans="1:10" x14ac:dyDescent="0.3">
      <c r="B2" s="29" t="s">
        <v>17</v>
      </c>
      <c r="C2" s="29"/>
      <c r="D2" s="29"/>
      <c r="E2" s="29"/>
      <c r="H2" s="3"/>
      <c r="I2" s="18" t="s">
        <v>30</v>
      </c>
      <c r="J2" s="16" t="s">
        <v>24</v>
      </c>
    </row>
    <row r="3" spans="1:10" x14ac:dyDescent="0.3">
      <c r="H3" s="16" t="s">
        <v>20</v>
      </c>
      <c r="I3" s="26" t="s">
        <v>33</v>
      </c>
      <c r="J3" s="16">
        <v>235</v>
      </c>
    </row>
    <row r="4" spans="1:10" x14ac:dyDescent="0.3">
      <c r="C4" s="15" t="s">
        <v>0</v>
      </c>
      <c r="D4" s="36" t="s">
        <v>16</v>
      </c>
      <c r="E4" s="36"/>
      <c r="H4" s="16" t="s">
        <v>21</v>
      </c>
      <c r="I4" s="26" t="s">
        <v>32</v>
      </c>
      <c r="J4" s="3">
        <v>235</v>
      </c>
    </row>
    <row r="5" spans="1:10" x14ac:dyDescent="0.3">
      <c r="C5" s="15" t="s">
        <v>9</v>
      </c>
      <c r="D5" s="37" t="s">
        <v>11</v>
      </c>
      <c r="E5" s="38"/>
      <c r="H5" s="16" t="s">
        <v>22</v>
      </c>
      <c r="I5" s="3"/>
      <c r="J5" s="3"/>
    </row>
    <row r="6" spans="1:10" x14ac:dyDescent="0.3">
      <c r="B6" s="8"/>
      <c r="C6" s="9" t="s">
        <v>2</v>
      </c>
      <c r="D6" s="27"/>
      <c r="E6" s="27"/>
    </row>
    <row r="7" spans="1:10" x14ac:dyDescent="0.3">
      <c r="C7" s="9" t="s">
        <v>1</v>
      </c>
      <c r="D7" s="27"/>
      <c r="E7" s="27"/>
    </row>
    <row r="9" spans="1:10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10" ht="43.8" customHeight="1" x14ac:dyDescent="0.3">
      <c r="B10" s="3">
        <v>1</v>
      </c>
      <c r="C10" s="1" t="s">
        <v>62</v>
      </c>
      <c r="D10" s="2" t="s">
        <v>63</v>
      </c>
      <c r="E10" s="2" t="s">
        <v>75</v>
      </c>
    </row>
    <row r="11" spans="1:10" ht="52.2" customHeight="1" x14ac:dyDescent="0.3">
      <c r="B11" s="3">
        <f>B10+1</f>
        <v>2</v>
      </c>
      <c r="C11" s="1" t="s">
        <v>62</v>
      </c>
      <c r="D11" s="1" t="s">
        <v>64</v>
      </c>
      <c r="E11" s="2" t="s">
        <v>76</v>
      </c>
    </row>
    <row r="12" spans="1:10" ht="35.4" customHeight="1" x14ac:dyDescent="0.3">
      <c r="B12" s="3">
        <f t="shared" ref="B12:B30" si="0">B11+1</f>
        <v>3</v>
      </c>
      <c r="C12" s="1" t="s">
        <v>65</v>
      </c>
      <c r="D12" s="1" t="s">
        <v>64</v>
      </c>
      <c r="E12" s="2" t="s">
        <v>77</v>
      </c>
    </row>
    <row r="13" spans="1:10" x14ac:dyDescent="0.3">
      <c r="B13" s="3">
        <f t="shared" si="0"/>
        <v>4</v>
      </c>
      <c r="C13" s="1" t="s">
        <v>65</v>
      </c>
      <c r="D13" s="2" t="s">
        <v>64</v>
      </c>
      <c r="E13" s="2" t="s">
        <v>78</v>
      </c>
    </row>
    <row r="14" spans="1:10" x14ac:dyDescent="0.3">
      <c r="B14" s="3">
        <f t="shared" si="0"/>
        <v>5</v>
      </c>
      <c r="C14" s="1" t="s">
        <v>66</v>
      </c>
      <c r="D14" s="2" t="s">
        <v>68</v>
      </c>
      <c r="E14" s="2" t="s">
        <v>79</v>
      </c>
    </row>
    <row r="15" spans="1:10" ht="28.8" x14ac:dyDescent="0.3">
      <c r="B15" s="3">
        <f t="shared" si="0"/>
        <v>6</v>
      </c>
      <c r="C15" s="1" t="s">
        <v>62</v>
      </c>
      <c r="D15" s="2" t="s">
        <v>69</v>
      </c>
      <c r="E15" s="2" t="s">
        <v>80</v>
      </c>
    </row>
    <row r="16" spans="1:10" x14ac:dyDescent="0.3">
      <c r="B16" s="3">
        <f t="shared" si="0"/>
        <v>7</v>
      </c>
      <c r="C16" s="1" t="s">
        <v>67</v>
      </c>
      <c r="D16" s="2" t="s">
        <v>70</v>
      </c>
      <c r="E16" s="2" t="s">
        <v>81</v>
      </c>
    </row>
    <row r="17" spans="2:5" ht="28.8" x14ac:dyDescent="0.3">
      <c r="B17" s="3">
        <f t="shared" si="0"/>
        <v>8</v>
      </c>
      <c r="C17" s="1" t="s">
        <v>66</v>
      </c>
      <c r="D17" s="2" t="s">
        <v>71</v>
      </c>
      <c r="E17" s="2" t="s">
        <v>82</v>
      </c>
    </row>
    <row r="18" spans="2:5" ht="28.8" x14ac:dyDescent="0.3">
      <c r="B18" s="3">
        <f t="shared" si="0"/>
        <v>9</v>
      </c>
      <c r="C18" s="1" t="s">
        <v>66</v>
      </c>
      <c r="D18" s="2" t="s">
        <v>72</v>
      </c>
      <c r="E18" s="2" t="s">
        <v>83</v>
      </c>
    </row>
    <row r="19" spans="2:5" x14ac:dyDescent="0.3">
      <c r="B19" s="3">
        <f t="shared" si="0"/>
        <v>10</v>
      </c>
      <c r="C19" s="1" t="s">
        <v>66</v>
      </c>
      <c r="D19" s="1"/>
      <c r="E19" s="2" t="s">
        <v>73</v>
      </c>
    </row>
    <row r="20" spans="2:5" x14ac:dyDescent="0.3">
      <c r="B20" s="3">
        <f t="shared" si="0"/>
        <v>11</v>
      </c>
      <c r="C20" s="1"/>
      <c r="D20" s="2"/>
      <c r="E20" s="2"/>
    </row>
    <row r="21" spans="2:5" x14ac:dyDescent="0.3">
      <c r="B21" s="3">
        <f t="shared" si="0"/>
        <v>12</v>
      </c>
      <c r="C21" s="1"/>
      <c r="D21" s="1"/>
      <c r="E21" s="2"/>
    </row>
    <row r="22" spans="2:5" x14ac:dyDescent="0.3">
      <c r="B22" s="3">
        <f t="shared" si="0"/>
        <v>13</v>
      </c>
      <c r="C22" s="1"/>
      <c r="D22" s="2"/>
      <c r="E22" s="2"/>
    </row>
    <row r="23" spans="2:5" x14ac:dyDescent="0.3">
      <c r="B23" s="3">
        <f t="shared" si="0"/>
        <v>14</v>
      </c>
      <c r="C23" s="1"/>
      <c r="D23" s="2"/>
      <c r="E23" s="2"/>
    </row>
    <row r="24" spans="2:5" x14ac:dyDescent="0.3">
      <c r="B24" s="3">
        <f t="shared" si="0"/>
        <v>15</v>
      </c>
      <c r="C24" s="1"/>
      <c r="D24" s="2"/>
      <c r="E24" s="2"/>
    </row>
    <row r="25" spans="2:5" x14ac:dyDescent="0.3">
      <c r="B25" s="3">
        <f t="shared" si="0"/>
        <v>16</v>
      </c>
      <c r="C25" s="1"/>
      <c r="D25" s="2"/>
      <c r="E25" s="2"/>
    </row>
    <row r="26" spans="2:5" x14ac:dyDescent="0.3">
      <c r="B26" s="3">
        <f t="shared" si="0"/>
        <v>17</v>
      </c>
      <c r="C26" s="1"/>
      <c r="D26" s="1"/>
      <c r="E26" s="2"/>
    </row>
    <row r="27" spans="2:5" x14ac:dyDescent="0.3">
      <c r="B27" s="3">
        <f t="shared" si="0"/>
        <v>18</v>
      </c>
      <c r="C27" s="1"/>
      <c r="D27" s="2"/>
      <c r="E27" s="1"/>
    </row>
    <row r="28" spans="2:5" x14ac:dyDescent="0.3">
      <c r="B28" s="3">
        <f t="shared" si="0"/>
        <v>19</v>
      </c>
      <c r="C28" s="1"/>
      <c r="D28" s="2"/>
      <c r="E28" s="2"/>
    </row>
    <row r="29" spans="2:5" x14ac:dyDescent="0.3">
      <c r="B29" s="3">
        <f t="shared" si="0"/>
        <v>20</v>
      </c>
      <c r="C29" s="1"/>
      <c r="D29" s="2"/>
      <c r="E29" s="2"/>
    </row>
    <row r="30" spans="2:5" x14ac:dyDescent="0.3">
      <c r="B30" s="3">
        <f t="shared" si="0"/>
        <v>21</v>
      </c>
      <c r="C30" s="1"/>
      <c r="D30" s="2"/>
      <c r="E30" s="2"/>
    </row>
    <row r="32" spans="2:5" x14ac:dyDescent="0.3">
      <c r="C32" s="11" t="s">
        <v>8</v>
      </c>
      <c r="D32" s="12"/>
      <c r="E32" s="1">
        <v>0.5</v>
      </c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workbookViewId="0">
      <selection activeCell="D5" sqref="D5:E5"/>
    </sheetView>
  </sheetViews>
  <sheetFormatPr defaultColWidth="8.88671875" defaultRowHeight="14.4" x14ac:dyDescent="0.3"/>
  <cols>
    <col min="1" max="1" width="8.88671875" style="6"/>
    <col min="2" max="2" width="12.33203125" style="6" customWidth="1"/>
    <col min="3" max="3" width="16.33203125" style="6" customWidth="1"/>
    <col min="4" max="4" width="26.88671875" style="6" customWidth="1"/>
    <col min="5" max="5" width="23.88671875" style="6" customWidth="1"/>
    <col min="6" max="6" width="16.5546875" style="6" customWidth="1"/>
    <col min="7" max="8" width="8.88671875" style="6"/>
    <col min="9" max="9" width="26.6640625" style="6" customWidth="1"/>
    <col min="10" max="16384" width="8.88671875" style="6"/>
  </cols>
  <sheetData>
    <row r="1" spans="1:10" ht="15.6" x14ac:dyDescent="0.3">
      <c r="A1" s="4"/>
      <c r="B1" s="5" t="s">
        <v>3</v>
      </c>
      <c r="H1" s="28" t="s">
        <v>23</v>
      </c>
      <c r="I1" s="28"/>
      <c r="J1" s="28"/>
    </row>
    <row r="2" spans="1:10" x14ac:dyDescent="0.3">
      <c r="B2" s="29" t="s">
        <v>31</v>
      </c>
      <c r="C2" s="29"/>
      <c r="D2" s="29"/>
      <c r="E2" s="29"/>
      <c r="H2" s="3"/>
      <c r="I2" s="18" t="s">
        <v>30</v>
      </c>
      <c r="J2" s="16" t="s">
        <v>24</v>
      </c>
    </row>
    <row r="3" spans="1:10" x14ac:dyDescent="0.3">
      <c r="H3" s="16" t="s">
        <v>20</v>
      </c>
      <c r="I3" s="42" t="s">
        <v>33</v>
      </c>
      <c r="J3" s="16">
        <v>235</v>
      </c>
    </row>
    <row r="4" spans="1:10" x14ac:dyDescent="0.3">
      <c r="C4" s="15" t="s">
        <v>25</v>
      </c>
      <c r="D4" s="36" t="s">
        <v>129</v>
      </c>
      <c r="E4" s="36"/>
      <c r="H4" s="16" t="s">
        <v>21</v>
      </c>
      <c r="I4" s="42" t="s">
        <v>32</v>
      </c>
      <c r="J4" s="3">
        <v>235</v>
      </c>
    </row>
    <row r="5" spans="1:10" x14ac:dyDescent="0.3">
      <c r="C5" s="9" t="s">
        <v>2</v>
      </c>
      <c r="D5" s="27"/>
      <c r="E5" s="27"/>
      <c r="H5" s="16" t="s">
        <v>22</v>
      </c>
      <c r="I5" s="3"/>
      <c r="J5" s="3"/>
    </row>
    <row r="6" spans="1:10" x14ac:dyDescent="0.3">
      <c r="B6" s="8"/>
      <c r="C6" s="9" t="s">
        <v>1</v>
      </c>
      <c r="D6" s="27"/>
      <c r="E6" s="27"/>
      <c r="F6" s="19"/>
    </row>
    <row r="9" spans="1:10" x14ac:dyDescent="0.3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 ht="86.4" x14ac:dyDescent="0.3">
      <c r="B10" s="3">
        <v>1</v>
      </c>
      <c r="C10" s="1" t="s">
        <v>90</v>
      </c>
      <c r="D10" s="41" t="s">
        <v>87</v>
      </c>
      <c r="E10" s="2" t="s">
        <v>88</v>
      </c>
      <c r="F10" s="2" t="s">
        <v>89</v>
      </c>
    </row>
    <row r="11" spans="1:10" ht="115.2" x14ac:dyDescent="0.3">
      <c r="B11" s="3">
        <f>B10+1</f>
        <v>2</v>
      </c>
      <c r="C11" s="1" t="s">
        <v>127</v>
      </c>
      <c r="D11" s="1" t="s">
        <v>87</v>
      </c>
      <c r="E11" s="2" t="s">
        <v>91</v>
      </c>
      <c r="F11" s="2" t="s">
        <v>92</v>
      </c>
    </row>
    <row r="12" spans="1:10" ht="28.8" x14ac:dyDescent="0.3">
      <c r="B12" s="3">
        <f t="shared" ref="B12:B30" si="0">B11+1</f>
        <v>3</v>
      </c>
      <c r="C12" s="1" t="s">
        <v>93</v>
      </c>
      <c r="D12" s="41" t="s">
        <v>94</v>
      </c>
      <c r="E12" s="2" t="s">
        <v>95</v>
      </c>
      <c r="F12" s="2" t="s">
        <v>96</v>
      </c>
    </row>
    <row r="13" spans="1:10" ht="288" x14ac:dyDescent="0.3">
      <c r="B13" s="3">
        <f t="shared" si="0"/>
        <v>4</v>
      </c>
      <c r="C13" s="1" t="s">
        <v>97</v>
      </c>
      <c r="D13" s="41" t="s">
        <v>98</v>
      </c>
      <c r="E13" s="2" t="s">
        <v>99</v>
      </c>
      <c r="F13" s="2" t="s">
        <v>100</v>
      </c>
    </row>
    <row r="14" spans="1:10" ht="43.2" x14ac:dyDescent="0.3">
      <c r="B14" s="3">
        <f t="shared" si="0"/>
        <v>5</v>
      </c>
      <c r="C14" s="1" t="s">
        <v>101</v>
      </c>
      <c r="D14" s="41" t="s">
        <v>102</v>
      </c>
      <c r="E14" s="2" t="s">
        <v>96</v>
      </c>
      <c r="F14" s="2" t="s">
        <v>103</v>
      </c>
    </row>
    <row r="15" spans="1:10" ht="86.4" x14ac:dyDescent="0.3">
      <c r="B15" s="3">
        <f t="shared" si="0"/>
        <v>6</v>
      </c>
      <c r="C15" s="1" t="s">
        <v>104</v>
      </c>
      <c r="D15" s="41" t="s">
        <v>105</v>
      </c>
      <c r="E15" s="2" t="s">
        <v>106</v>
      </c>
      <c r="F15" s="2" t="s">
        <v>107</v>
      </c>
    </row>
    <row r="16" spans="1:10" ht="144" x14ac:dyDescent="0.3">
      <c r="B16" s="3">
        <f t="shared" si="0"/>
        <v>7</v>
      </c>
      <c r="C16" s="1" t="s">
        <v>108</v>
      </c>
      <c r="D16" s="41" t="s">
        <v>109</v>
      </c>
      <c r="E16" s="2" t="s">
        <v>110</v>
      </c>
      <c r="F16" s="2" t="s">
        <v>111</v>
      </c>
    </row>
    <row r="17" spans="2:6" ht="86.4" x14ac:dyDescent="0.3">
      <c r="B17" s="3">
        <f t="shared" si="0"/>
        <v>8</v>
      </c>
      <c r="C17" s="1" t="s">
        <v>115</v>
      </c>
      <c r="D17" s="2" t="s">
        <v>113</v>
      </c>
      <c r="E17" s="2" t="s">
        <v>112</v>
      </c>
      <c r="F17" s="2" t="s">
        <v>114</v>
      </c>
    </row>
    <row r="18" spans="2:6" ht="115.2" x14ac:dyDescent="0.3">
      <c r="B18" s="3">
        <f t="shared" si="0"/>
        <v>9</v>
      </c>
      <c r="C18" s="1" t="s">
        <v>116</v>
      </c>
      <c r="D18" s="2" t="s">
        <v>117</v>
      </c>
      <c r="E18" s="2" t="s">
        <v>118</v>
      </c>
      <c r="F18" s="2" t="s">
        <v>119</v>
      </c>
    </row>
    <row r="19" spans="2:6" ht="100.8" x14ac:dyDescent="0.3">
      <c r="B19" s="3">
        <f t="shared" si="0"/>
        <v>10</v>
      </c>
      <c r="C19" s="1" t="s">
        <v>120</v>
      </c>
      <c r="D19" s="1" t="s">
        <v>121</v>
      </c>
      <c r="E19" s="2" t="s">
        <v>122</v>
      </c>
      <c r="F19" s="2" t="s">
        <v>123</v>
      </c>
    </row>
    <row r="20" spans="2:6" ht="28.8" x14ac:dyDescent="0.3">
      <c r="B20" s="3">
        <f t="shared" si="0"/>
        <v>11</v>
      </c>
      <c r="C20" s="1" t="s">
        <v>124</v>
      </c>
      <c r="D20" s="2" t="s">
        <v>125</v>
      </c>
      <c r="E20" s="2" t="s">
        <v>126</v>
      </c>
      <c r="F20" s="2" t="s">
        <v>96</v>
      </c>
    </row>
    <row r="21" spans="2:6" x14ac:dyDescent="0.3">
      <c r="B21" s="3">
        <f t="shared" si="0"/>
        <v>12</v>
      </c>
      <c r="C21" s="1"/>
      <c r="D21" s="1"/>
      <c r="E21" s="2"/>
      <c r="F21" s="2"/>
    </row>
    <row r="22" spans="2:6" x14ac:dyDescent="0.3">
      <c r="B22" s="3">
        <f t="shared" si="0"/>
        <v>13</v>
      </c>
      <c r="C22" s="1"/>
      <c r="D22" s="2"/>
      <c r="E22" s="2"/>
      <c r="F22" s="2"/>
    </row>
    <row r="23" spans="2:6" x14ac:dyDescent="0.3">
      <c r="B23" s="3">
        <f t="shared" si="0"/>
        <v>14</v>
      </c>
      <c r="C23" s="1"/>
      <c r="D23" s="2"/>
      <c r="E23" s="2"/>
      <c r="F23" s="2"/>
    </row>
    <row r="24" spans="2:6" x14ac:dyDescent="0.3">
      <c r="B24" s="3">
        <f t="shared" si="0"/>
        <v>15</v>
      </c>
      <c r="C24" s="1"/>
      <c r="D24" s="2"/>
      <c r="E24" s="2"/>
      <c r="F24" s="2"/>
    </row>
    <row r="25" spans="2:6" x14ac:dyDescent="0.3">
      <c r="B25" s="3">
        <f t="shared" si="0"/>
        <v>16</v>
      </c>
      <c r="C25" s="1"/>
      <c r="D25" s="2"/>
      <c r="E25" s="2"/>
      <c r="F25" s="2"/>
    </row>
    <row r="26" spans="2:6" x14ac:dyDescent="0.3">
      <c r="B26" s="3">
        <f t="shared" si="0"/>
        <v>17</v>
      </c>
      <c r="C26" s="1"/>
      <c r="D26" s="1"/>
      <c r="E26" s="2"/>
      <c r="F26" s="2"/>
    </row>
    <row r="27" spans="2:6" x14ac:dyDescent="0.3">
      <c r="B27" s="3">
        <f t="shared" si="0"/>
        <v>18</v>
      </c>
      <c r="C27" s="1"/>
      <c r="D27" s="2"/>
      <c r="E27" s="1"/>
      <c r="F27" s="1"/>
    </row>
    <row r="28" spans="2:6" x14ac:dyDescent="0.3">
      <c r="B28" s="3">
        <f t="shared" si="0"/>
        <v>19</v>
      </c>
      <c r="C28" s="1"/>
      <c r="D28" s="2"/>
      <c r="E28" s="2"/>
      <c r="F28" s="2"/>
    </row>
    <row r="29" spans="2:6" x14ac:dyDescent="0.3">
      <c r="B29" s="3">
        <f t="shared" si="0"/>
        <v>20</v>
      </c>
      <c r="C29" s="1"/>
      <c r="D29" s="2"/>
      <c r="E29" s="2"/>
      <c r="F29" s="2"/>
    </row>
    <row r="30" spans="2:6" x14ac:dyDescent="0.3">
      <c r="B30" s="3">
        <f t="shared" si="0"/>
        <v>21</v>
      </c>
      <c r="C30" s="1"/>
      <c r="D30" s="2"/>
      <c r="E30" s="2"/>
      <c r="F30" s="2"/>
    </row>
    <row r="32" spans="2:6" x14ac:dyDescent="0.3">
      <c r="C32" s="39" t="s">
        <v>128</v>
      </c>
      <c r="D32" s="40"/>
      <c r="E32" s="40"/>
      <c r="F32" s="17"/>
    </row>
    <row r="35" spans="6:6" x14ac:dyDescent="0.3">
      <c r="F35" s="20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Denisa Oproi</cp:lastModifiedBy>
  <dcterms:created xsi:type="dcterms:W3CDTF">2015-02-21T15:59:19Z</dcterms:created>
  <dcterms:modified xsi:type="dcterms:W3CDTF">2026-03-09T15:20:50Z</dcterms:modified>
</cp:coreProperties>
</file>